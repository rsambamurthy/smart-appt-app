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Table Sizing" sheetId="2" state="visible" r:id="rId4"/>
    <sheet name="Projections" sheetId="3" state="visible" r:id="rId5"/>
    <sheet name="S3 Storage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<sst xmlns="http://schemas.openxmlformats.org/spreadsheetml/2006/main" count="229" uniqueCount="188">
  <si>
    <t xml:space="preserve">SmartAppt — DB Sizing Assumptions  (edit BLUE cells)</t>
  </si>
  <si>
    <t xml:space="preserve">Parameter</t>
  </si>
  <si>
    <t xml:space="preserve">Value</t>
  </si>
  <si>
    <t xml:space="preserve">Unit</t>
  </si>
  <si>
    <t xml:space="preserve">Notes</t>
  </si>
  <si>
    <t xml:space="preserve">Number of associations (tenants)</t>
  </si>
  <si>
    <t xml:space="preserve">associations</t>
  </si>
  <si>
    <t xml:space="preserve">Active paying associations</t>
  </si>
  <si>
    <t xml:space="preserve">Units per association (avg)</t>
  </si>
  <si>
    <t xml:space="preserve">units</t>
  </si>
  <si>
    <t xml:space="preserve">Apartments / flats per society</t>
  </si>
  <si>
    <t xml:space="preserve">Users per unit (avg)</t>
  </si>
  <si>
    <t xml:space="preserve">users</t>
  </si>
  <si>
    <t xml:space="preserve">Registered residents + co-owners</t>
  </si>
  <si>
    <t xml:space="preserve">Staff per association (avg)</t>
  </si>
  <si>
    <t xml:space="preserve">Manager, treasurer, gate staff, committee</t>
  </si>
  <si>
    <t xml:space="preserve">Gate entries / unit / day</t>
  </si>
  <si>
    <t xml:space="preserve">entries/day</t>
  </si>
  <si>
    <t xml:space="preserve">Visitor log entries per occupied unit</t>
  </si>
  <si>
    <t xml:space="preserve">Maintenance tickets / unit / year</t>
  </si>
  <si>
    <t xml:space="preserve">tickets/yr</t>
  </si>
  <si>
    <t xml:space="preserve">Service requests raised by residents</t>
  </si>
  <si>
    <t xml:space="preserve">Bill cycles per year</t>
  </si>
  <si>
    <t xml:space="preserve">cycles/yr</t>
  </si>
  <si>
    <t xml:space="preserve">Monthly billing is typical</t>
  </si>
  <si>
    <t xml:space="preserve">One-time dues / unit / year</t>
  </si>
  <si>
    <t xml:space="preserve">dues/yr</t>
  </si>
  <si>
    <t xml:space="preserve">Penalties, special charges</t>
  </si>
  <si>
    <t xml:space="preserve">Payments per bill</t>
  </si>
  <si>
    <t xml:space="preserve">payments</t>
  </si>
  <si>
    <t xml:space="preserve">Partial/late payments slightly &gt; 1</t>
  </si>
  <si>
    <t xml:space="preserve">Announcements / assoc / month</t>
  </si>
  <si>
    <t xml:space="preserve">ann/mo</t>
  </si>
  <si>
    <t xml:space="preserve">Notices, circulars</t>
  </si>
  <si>
    <t xml:space="preserve">Documents / assoc / year</t>
  </si>
  <si>
    <t xml:space="preserve">docs/yr</t>
  </si>
  <si>
    <t xml:space="preserve">AGM minutes, rules, certs</t>
  </si>
  <si>
    <t xml:space="preserve">Expenses / assoc / month</t>
  </si>
  <si>
    <t xml:space="preserve">expenses/mo</t>
  </si>
  <si>
    <t xml:space="preserve">Vendor bills, maintenance, utilities</t>
  </si>
  <si>
    <t xml:space="preserve">Journal lines per expense</t>
  </si>
  <si>
    <t xml:space="preserve">lines</t>
  </si>
  <si>
    <t xml:space="preserve">Debit + credit minimum</t>
  </si>
  <si>
    <t xml:space="preserve">Polls / assoc / year</t>
  </si>
  <si>
    <t xml:space="preserve">polls/yr</t>
  </si>
  <si>
    <t xml:space="preserve">Resident voting events</t>
  </si>
  <si>
    <t xml:space="preserve">Audit log rows / active user / day</t>
  </si>
  <si>
    <t xml:space="preserve">rows/day</t>
  </si>
  <si>
    <t xml:space="preserve">API call logging estimate</t>
  </si>
  <si>
    <t xml:space="preserve">Months of data to size for</t>
  </si>
  <si>
    <t xml:space="preserve">months</t>
  </si>
  <si>
    <t xml:space="preserve">3 years default</t>
  </si>
  <si>
    <t xml:space="preserve">Derived Totals (auto-calculated)</t>
  </si>
  <si>
    <t xml:space="preserve">Total active users</t>
  </si>
  <si>
    <t xml:space="preserve">assoc × users_pu + assoc × staff_pa</t>
  </si>
  <si>
    <t xml:space="preserve">Total units</t>
  </si>
  <si>
    <t xml:space="preserve">assoc × units_pa</t>
  </si>
  <si>
    <t xml:space="preserve">Total occupied units</t>
  </si>
  <si>
    <t xml:space="preserve">90% occupancy assumption</t>
  </si>
  <si>
    <t xml:space="preserve">Days in sizing window</t>
  </si>
  <si>
    <t xml:space="preserve">days</t>
  </si>
  <si>
    <t xml:space="preserve">months × 30</t>
  </si>
  <si>
    <t xml:space="preserve">SmartAppt — PostgreSQL Table-Level Sizing</t>
  </si>
  <si>
    <t xml:space="preserve">Table</t>
  </si>
  <si>
    <t xml:space="preserve">Category</t>
  </si>
  <si>
    <t xml:space="preserve">Row Size
(bytes)</t>
  </si>
  <si>
    <t xml:space="preserve">Row Count Formula</t>
  </si>
  <si>
    <t xml:space="preserve">Estimated Rows</t>
  </si>
  <si>
    <t xml:space="preserve">Data Size
(MB)</t>
  </si>
  <si>
    <t xml:space="preserve">Index
Multiplier</t>
  </si>
  <si>
    <t xml:space="preserve">Total Size
(MB)</t>
  </si>
  <si>
    <t xml:space="preserve">Association</t>
  </si>
  <si>
    <t xml:space="preserve">Core</t>
  </si>
  <si>
    <t xml:space="preserve">AssociationConfig</t>
  </si>
  <si>
    <t xml:space="preserve">User</t>
  </si>
  <si>
    <t xml:space="preserve">UserInvite</t>
  </si>
  <si>
    <t xml:space="preserve">RefreshToken</t>
  </si>
  <si>
    <t xml:space="preserve">MaintenanceTicket</t>
  </si>
  <si>
    <t xml:space="preserve">Maintenance</t>
  </si>
  <si>
    <t xml:space="preserve">TicketAttachment</t>
  </si>
  <si>
    <t xml:space="preserve">TicketStatusLog</t>
  </si>
  <si>
    <t xml:space="preserve">DuesConfig</t>
  </si>
  <si>
    <t xml:space="preserve">Financial</t>
  </si>
  <si>
    <t xml:space="preserve">Bill</t>
  </si>
  <si>
    <t xml:space="preserve">OneTimeDue</t>
  </si>
  <si>
    <t xml:space="preserve">Payment</t>
  </si>
  <si>
    <t xml:space="preserve">OtherReceipt</t>
  </si>
  <si>
    <t xml:space="preserve">Vendor</t>
  </si>
  <si>
    <t xml:space="preserve">Expense</t>
  </si>
  <si>
    <t xml:space="preserve">ExpenseBudget</t>
  </si>
  <si>
    <t xml:space="preserve">ExpenseCategoryConfig</t>
  </si>
  <si>
    <t xml:space="preserve">RecurringExpense</t>
  </si>
  <si>
    <t xml:space="preserve">Account</t>
  </si>
  <si>
    <t xml:space="preserve">Accounting</t>
  </si>
  <si>
    <t xml:space="preserve">JournalEntry</t>
  </si>
  <si>
    <t xml:space="preserve">JournalLine</t>
  </si>
  <si>
    <t xml:space="preserve">Announcement</t>
  </si>
  <si>
    <t xml:space="preserve">Communication</t>
  </si>
  <si>
    <t xml:space="preserve">AnnouncementRead</t>
  </si>
  <si>
    <t xml:space="preserve">Document</t>
  </si>
  <si>
    <t xml:space="preserve">Poll</t>
  </si>
  <si>
    <t xml:space="preserve">PollVote</t>
  </si>
  <si>
    <t xml:space="preserve">Visitor</t>
  </si>
  <si>
    <t xml:space="preserve">Gate</t>
  </si>
  <si>
    <t xml:space="preserve">FrequentVisitor</t>
  </si>
  <si>
    <t xml:space="preserve">AuditLog</t>
  </si>
  <si>
    <t xml:space="preserve">Audit</t>
  </si>
  <si>
    <t xml:space="preserve">MenuGroupConfig</t>
  </si>
  <si>
    <t xml:space="preserve">Config</t>
  </si>
  <si>
    <t xml:space="preserve">MobileConfig</t>
  </si>
  <si>
    <t xml:space="preserve">TOTAL</t>
  </si>
  <si>
    <t xml:space="preserve">SmartAppt — Multi-Year DB Growth Projections</t>
  </si>
  <si>
    <t xml:space="preserve">Annual tenant growth rate</t>
  </si>
  <si>
    <t xml:space="preserve">40% YoY — typical SaaS growth phase</t>
  </si>
  <si>
    <t xml:space="preserve">Annual data-per-tenant growth</t>
  </si>
  <si>
    <t xml:space="preserve">Existing tenants accumulate more data</t>
  </si>
  <si>
    <t xml:space="preserve">Overhead / TOAST / WAL factor</t>
  </si>
  <si>
    <t xml:space="preserve">PostgreSQL bloat, WAL, system tables</t>
  </si>
  <si>
    <t xml:space="preserve">Year-by-Year DB Size (all tables combined)</t>
  </si>
  <si>
    <t xml:space="preserve">Year</t>
  </si>
  <si>
    <t xml:space="preserve">Associations</t>
  </si>
  <si>
    <t xml:space="preserve">Base DB (MB)</t>
  </si>
  <si>
    <t xml:space="preserve">Scaled DB (MB)</t>
  </si>
  <si>
    <t xml:space="preserve">Overhead (MB)</t>
  </si>
  <si>
    <t xml:space="preserve">Total DB (GB)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</si>
  <si>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</si>
  <si>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</si>
  <si>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</si>
  <si>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</si>
  <si>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</si>
  <si>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Note: Add 2× for WAL archiving + replicas in HA/standby setups. Sizes are logical-row estimates before compression.</t>
  </si>
  <si>
    <t xml:space="preserve">SmartAppt — Object / S3 Storage Sizing (separate from PostgreSQL)</t>
  </si>
  <si>
    <t xml:space="preserve">Asset Type</t>
  </si>
  <si>
    <t xml:space="preserve">Source Table</t>
  </si>
  <si>
    <t xml:space="preserve">Avg File Size
(KB)</t>
  </si>
  <si>
    <t xml:space="preserve">Items
(all tenants, sizing window)</t>
  </si>
  <si>
    <t xml:space="preserve">Annual Storage
(GB)</t>
  </si>
  <si>
    <t xml:space="preserve">3-Year Storage
(GB)</t>
  </si>
  <si>
    <t xml:space="preserve">Ticket attachments</t>
  </si>
  <si>
    <t xml:space="preserve">Photos, PDFs with maintenance requests</t>
  </si>
  <si>
    <t xml:space="preserve">Society documents</t>
  </si>
  <si>
    <t xml:space="preserve">AGM minutes, rules, NOC letters</t>
  </si>
  <si>
    <t xml:space="preserve">Payment receipts</t>
  </si>
  <si>
    <t xml:space="preserve">Auto-generated PDF receipts</t>
  </si>
  <si>
    <t xml:space="preserve">Profile photos</t>
  </si>
  <si>
    <t xml:space="preserve">~50% of users upload</t>
  </si>
  <si>
    <t xml:space="preserve">Association logos</t>
  </si>
  <si>
    <t xml:space="preserve">One per tenant</t>
  </si>
  <si>
    <t xml:space="preserve">Expense invoices</t>
  </si>
  <si>
    <t xml:space="preserve">Vendor invoices attached to expenses</t>
  </si>
  <si>
    <t xml:space="preserve">Visitor ID photos</t>
  </si>
  <si>
    <t xml:space="preserve">30% of visitors have face/ID capture</t>
  </si>
  <si>
    <t xml:space="preserve">SmartAppt — Sizing Summary &amp; Infrastructure Recommendations</t>
  </si>
  <si>
    <t xml:space="preserve">DATABASE (PostgreSQL)</t>
  </si>
  <si>
    <t xml:space="preserve">Year 1 total DB size (GB)</t>
  </si>
  <si>
    <t xml:space="preserve">Year 3 total DB size (GB)</t>
  </si>
  <si>
    <t xml:space="preserve">Year 5 total DB size (GB)</t>
  </si>
  <si>
    <t xml:space="preserve">Tables sized</t>
  </si>
  <si>
    <t xml:space="preserve">Largest table (by volume)</t>
  </si>
  <si>
    <t xml:space="preserve">AuditLog (visitor + audit logging)</t>
  </si>
  <si>
    <t xml:space="preserve">OBJECT STORAGE (S3 / compatible)</t>
  </si>
  <si>
    <t xml:space="preserve">Year 1 S3 storage (GB)</t>
  </si>
  <si>
    <t xml:space="preserve">3-year S3 storage (GB)</t>
  </si>
  <si>
    <t xml:space="preserve">INFRASTRUCTURE RECOMMENDATIONS</t>
  </si>
  <si>
    <t xml:space="preserve">Year 1 — Instance</t>
  </si>
  <si>
    <t xml:space="preserve">db.t4g.large  (2 vCPU, 8 GB RAM, ~50 GB gp3)</t>
  </si>
  <si>
    <t xml:space="preserve">Year 3 — Instance</t>
  </si>
  <si>
    <t xml:space="preserve">db.m7g.xlarge (4 vCPU, 16 GB RAM, ~200 GB gp3)</t>
  </si>
  <si>
    <t xml:space="preserve">Year 5 — Instance</t>
  </si>
  <si>
    <t xml:space="preserve">db.m7g.2xlarge (8 vCPU, 32 GB RAM) or Aurora Serverless v2</t>
  </si>
  <si>
    <t xml:space="preserve">Storage type</t>
  </si>
  <si>
    <t xml:space="preserve">gp3 SSD with autoscaling (start 100 GB)</t>
  </si>
  <si>
    <t xml:space="preserve">Backup retention</t>
  </si>
  <si>
    <t xml:space="preserve">7-day PITR + weekly snapshots to S3</t>
  </si>
  <si>
    <t xml:space="preserve">Connection pooling</t>
  </si>
  <si>
    <t xml:space="preserve">PgBouncer / RDS Proxy — mandatory at &gt;200 associations</t>
  </si>
  <si>
    <t xml:space="preserve">Partitioning</t>
  </si>
  <si>
    <t xml:space="preserve">Partition AuditLog &amp; Visitor by month; archive &gt;12 months</t>
  </si>
  <si>
    <t xml:space="preserve">Multi-tenant isolation</t>
  </si>
  <si>
    <t xml:space="preserve">Row-level via association_id; add RLS policies for defence-in-depth</t>
  </si>
  <si>
    <t xml:space="preserve">Index strategy</t>
  </si>
  <si>
    <t xml:space="preserve">GIN index on JSON cols; partial indexes on association_id+status</t>
  </si>
  <si>
    <t xml:space="preserve">ESTIMATED MONTHLY COST (AWS RDS, us-east-1)</t>
  </si>
  <si>
    <t xml:space="preserve">Year 1 / month (USD)</t>
  </si>
  <si>
    <t xml:space="preserve">Year 3 / month (USD)</t>
  </si>
  <si>
    <t xml:space="preserve">Year 5 / month (USD)</t>
  </si>
  <si>
    <t xml:space="preserve">Cost source</t>
  </si>
  <si>
    <t xml:space="preserve">AWS RDS PostgreSQL on-demand pricing, us-east-1, Jul 2026 — update via aws.amazon.com/rds/postgresql/pricing/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</si>
</sst>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##"/>
    <numFmt numFmtId="166" formatCode="#,##0"/>
    <numFmt numFmtId="167" formatCode="#,##0.000"/>
    <numFmt numFmtId="168" formatCode="0.0\x"/>
    <numFmt numFmtId="169" formatCode="0.0%"/>
    <numFmt numFmtId="170" formatCode="#,##0.0"/>
    <numFmt numFmtId="171" formatCode="#,##0.00"/>
    <numFmt numFmtId="172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sz val="10"/>
      <color rgb="FF888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BF1FF"/>
        <bgColor rgb="FFEEF2F8"/>
      </patternFill>
    </fill>
    <fill>
      <patternFill patternType="solid">
        <fgColor rgb="FF70AD47"/>
        <bgColor rgb="FF888888"/>
      </patternFill>
    </fill>
    <fill>
      <patternFill patternType="solid">
        <fgColor rgb="FFFFFFFF"/>
        <bgColor rgb="FFF5F5F5"/>
      </patternFill>
    </fill>
    <fill>
      <patternFill patternType="solid">
        <fgColor rgb="FFEEF2F8"/>
        <bgColor rgb="FFEBF1FF"/>
      </patternFill>
    </fill>
    <fill>
      <patternFill patternType="solid">
        <fgColor rgb="FFF5F5F5"/>
        <bgColor rgb="FFEE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EBF1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8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</v>
      </c>
      <c r="B3" s="4" t="n">
        <v>500</v>
      </c>
      <c r="C3" s="3" t="s">
        <v>6</v>
      </c>
      <c r="D3" s="5" t="s">
        <v>7</v>
      </c>
    </row>
    <row r="4" customFormat="false" ht="15" hidden="false" customHeight="false" outlineLevel="0" collapsed="false">
      <c r="A4" s="3" t="s">
        <v>8</v>
      </c>
      <c r="B4" s="4" t="n">
        <v>80</v>
      </c>
      <c r="C4" s="3" t="s">
        <v>9</v>
      </c>
      <c r="D4" s="5" t="s">
        <v>10</v>
      </c>
    </row>
    <row r="5" customFormat="false" ht="15" hidden="false" customHeight="false" outlineLevel="0" collapsed="false">
      <c r="A5" s="3" t="s">
        <v>11</v>
      </c>
      <c r="B5" s="4" t="n">
        <v>2</v>
      </c>
      <c r="C5" s="3" t="s">
        <v>12</v>
      </c>
      <c r="D5" s="5" t="s">
        <v>13</v>
      </c>
    </row>
    <row r="6" customFormat="false" ht="15" hidden="false" customHeight="false" outlineLevel="0" collapsed="false">
      <c r="A6" s="3" t="s">
        <v>14</v>
      </c>
      <c r="B6" s="4" t="n">
        <v>5</v>
      </c>
      <c r="C6" s="3" t="s">
        <v>12</v>
      </c>
      <c r="D6" s="5" t="s">
        <v>15</v>
      </c>
    </row>
    <row r="7" customFormat="false" ht="15" hidden="false" customHeight="false" outlineLevel="0" collapsed="false">
      <c r="A7" s="3" t="s">
        <v>16</v>
      </c>
      <c r="B7" s="4" t="n">
        <v>2</v>
      </c>
      <c r="C7" s="3" t="s">
        <v>17</v>
      </c>
      <c r="D7" s="5" t="s">
        <v>18</v>
      </c>
    </row>
    <row r="8" customFormat="false" ht="15" hidden="false" customHeight="false" outlineLevel="0" collapsed="false">
      <c r="A8" s="3" t="s">
        <v>19</v>
      </c>
      <c r="B8" s="4" t="n">
        <v>8</v>
      </c>
      <c r="C8" s="3" t="s">
        <v>20</v>
      </c>
      <c r="D8" s="5" t="s">
        <v>21</v>
      </c>
    </row>
    <row r="9" customFormat="false" ht="15" hidden="false" customHeight="false" outlineLevel="0" collapsed="false">
      <c r="A9" s="3" t="s">
        <v>22</v>
      </c>
      <c r="B9" s="4" t="n">
        <v>12</v>
      </c>
      <c r="C9" s="3" t="s">
        <v>23</v>
      </c>
      <c r="D9" s="5" t="s">
        <v>24</v>
      </c>
    </row>
    <row r="10" customFormat="false" ht="15" hidden="false" customHeight="false" outlineLevel="0" collapsed="false">
      <c r="A10" s="3" t="s">
        <v>25</v>
      </c>
      <c r="B10" s="4" t="n">
        <v>3</v>
      </c>
      <c r="C10" s="3" t="s">
        <v>26</v>
      </c>
      <c r="D10" s="5" t="s">
        <v>27</v>
      </c>
    </row>
    <row r="11" customFormat="false" ht="15" hidden="false" customHeight="false" outlineLevel="0" collapsed="false">
      <c r="A11" s="3" t="s">
        <v>28</v>
      </c>
      <c r="B11" s="4" t="n">
        <v>1.1</v>
      </c>
      <c r="C11" s="3" t="s">
        <v>29</v>
      </c>
      <c r="D11" s="5" t="s">
        <v>30</v>
      </c>
    </row>
    <row r="12" customFormat="false" ht="15" hidden="false" customHeight="false" outlineLevel="0" collapsed="false">
      <c r="A12" s="3" t="s">
        <v>31</v>
      </c>
      <c r="B12" s="4" t="n">
        <v>4</v>
      </c>
      <c r="C12" s="3" t="s">
        <v>32</v>
      </c>
      <c r="D12" s="5" t="s">
        <v>33</v>
      </c>
    </row>
    <row r="13" customFormat="false" ht="15" hidden="false" customHeight="false" outlineLevel="0" collapsed="false">
      <c r="A13" s="3" t="s">
        <v>34</v>
      </c>
      <c r="B13" s="4" t="n">
        <v>20</v>
      </c>
      <c r="C13" s="3" t="s">
        <v>35</v>
      </c>
      <c r="D13" s="5" t="s">
        <v>36</v>
      </c>
    </row>
    <row r="14" customFormat="false" ht="15" hidden="false" customHeight="false" outlineLevel="0" collapsed="false">
      <c r="A14" s="3" t="s">
        <v>37</v>
      </c>
      <c r="B14" s="4" t="n">
        <v>15</v>
      </c>
      <c r="C14" s="3" t="s">
        <v>38</v>
      </c>
      <c r="D14" s="5" t="s">
        <v>39</v>
      </c>
    </row>
    <row r="15" customFormat="false" ht="15" hidden="false" customHeight="false" outlineLevel="0" collapsed="false">
      <c r="A15" s="3" t="s">
        <v>40</v>
      </c>
      <c r="B15" s="4" t="n">
        <v>2</v>
      </c>
      <c r="C15" s="3" t="s">
        <v>41</v>
      </c>
      <c r="D15" s="5" t="s">
        <v>42</v>
      </c>
    </row>
    <row r="16" customFormat="false" ht="15" hidden="false" customHeight="false" outlineLevel="0" collapsed="false">
      <c r="A16" s="3" t="s">
        <v>43</v>
      </c>
      <c r="B16" s="4" t="n">
        <v>6</v>
      </c>
      <c r="C16" s="3" t="s">
        <v>44</v>
      </c>
      <c r="D16" s="5" t="s">
        <v>45</v>
      </c>
    </row>
    <row r="17" customFormat="false" ht="15" hidden="false" customHeight="false" outlineLevel="0" collapsed="false">
      <c r="A17" s="3" t="s">
        <v>46</v>
      </c>
      <c r="B17" s="4" t="n">
        <v>5</v>
      </c>
      <c r="C17" s="3" t="s">
        <v>47</v>
      </c>
      <c r="D17" s="5" t="s">
        <v>48</v>
      </c>
    </row>
    <row r="18" customFormat="false" ht="15" hidden="false" customHeight="false" outlineLevel="0" collapsed="false">
      <c r="A18" s="3" t="s">
        <v>49</v>
      </c>
      <c r="B18" s="4" t="n">
        <v>36</v>
      </c>
      <c r="C18" s="3" t="s">
        <v>50</v>
      </c>
      <c r="D18" s="5" t="s">
        <v>51</v>
      </c>
    </row>
    <row r="19" customFormat="false" ht="15" hidden="false" customHeight="false" outlineLevel="0" collapsed="false">
      <c r="A19" s="6" t="s">
        <v>52</v>
      </c>
      <c r="B19" s="6"/>
      <c r="C19" s="6"/>
      <c r="D19" s="6"/>
    </row>
    <row r="20" customFormat="false" ht="15" hidden="false" customHeight="false" outlineLevel="0" collapsed="false">
      <c r="A20" s="3" t="s">
        <v>53</v>
      </c>
      <c r="B20" s="7" t="n">
        <f aca="false">B3*B5+B3*B6</f>
        <v>3500</v>
      </c>
      <c r="C20" s="3" t="s">
        <v>12</v>
      </c>
      <c r="D20" s="5" t="s">
        <v>54</v>
      </c>
    </row>
    <row r="21" customFormat="false" ht="15" hidden="false" customHeight="false" outlineLevel="0" collapsed="false">
      <c r="A21" s="3" t="s">
        <v>55</v>
      </c>
      <c r="B21" s="7" t="n">
        <f aca="false">B3*B4</f>
        <v>40000</v>
      </c>
      <c r="C21" s="3" t="s">
        <v>9</v>
      </c>
      <c r="D21" s="5" t="s">
        <v>56</v>
      </c>
    </row>
    <row r="22" customFormat="false" ht="15" hidden="false" customHeight="false" outlineLevel="0" collapsed="false">
      <c r="A22" s="3" t="s">
        <v>57</v>
      </c>
      <c r="B22" s="7" t="n">
        <f aca="false">B3*B4*0.9</f>
        <v>36000</v>
      </c>
      <c r="C22" s="3" t="s">
        <v>9</v>
      </c>
      <c r="D22" s="5" t="s">
        <v>58</v>
      </c>
    </row>
    <row r="23" customFormat="false" ht="15" hidden="false" customHeight="false" outlineLevel="0" collapsed="false">
      <c r="A23" s="3" t="s">
        <v>59</v>
      </c>
      <c r="B23" s="7" t="n">
        <f aca="false">B18*30</f>
        <v>1080</v>
      </c>
      <c r="C23" s="3" t="s">
        <v>60</v>
      </c>
      <c r="D23" s="5" t="s">
        <v>61</v>
      </c>
    </row>
  </sheetData>
  <mergeCells count="2">
    <mergeCell ref="A1:D1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8" t="s">
        <v>63</v>
      </c>
      <c r="B2" s="8" t="s">
        <v>64</v>
      </c>
      <c r="C2" s="8" t="s">
        <v>65</v>
      </c>
      <c r="D2" s="8" t="s">
        <v>66</v>
      </c>
      <c r="E2" s="8" t="s">
        <v>67</v>
      </c>
      <c r="F2" s="8" t="s">
        <v>68</v>
      </c>
      <c r="G2" s="8" t="s">
        <v>69</v>
      </c>
      <c r="H2" s="8" t="s">
        <v>70</v>
      </c>
    </row>
    <row r="3" customFormat="false" ht="15" hidden="false" customHeight="false" outlineLevel="0" collapsed="false">
      <c r="A3" s="9" t="s">
        <v>71</v>
      </c>
      <c r="B3" s="10" t="s">
        <v>72</v>
      </c>
      <c r="C3" s="11" t="n">
        <v>512</v>
      </c>
      <c r="D3" s="12" t="n">
        <f aca="false">Assumptions!$B$3</f>
        <v>500</v>
      </c>
      <c r="E3" s="13" t="n">
        <f aca="false">D3</f>
        <v>500</v>
      </c>
      <c r="F3" s="14" t="n">
        <f aca="false">E3*C3/1048576</f>
        <v>0.244140625</v>
      </c>
      <c r="G3" s="15" t="n">
        <v>1.2</v>
      </c>
      <c r="H3" s="14" t="n">
        <f aca="false">F3*G3</f>
        <v>0.29296875</v>
      </c>
    </row>
    <row r="4" customFormat="false" ht="15" hidden="false" customHeight="false" outlineLevel="0" collapsed="false">
      <c r="A4" s="16" t="s">
        <v>73</v>
      </c>
      <c r="B4" s="17" t="s">
        <v>72</v>
      </c>
      <c r="C4" s="18" t="n">
        <v>256</v>
      </c>
      <c r="D4" s="19" t="n">
        <f aca="false">Assumptions!$B$3</f>
        <v>500</v>
      </c>
      <c r="E4" s="20" t="n">
        <f aca="false">D4</f>
        <v>500</v>
      </c>
      <c r="F4" s="21" t="n">
        <f aca="false">E4*C4/1048576</f>
        <v>0.1220703125</v>
      </c>
      <c r="G4" s="22" t="n">
        <v>1.1</v>
      </c>
      <c r="H4" s="21" t="n">
        <f aca="false">F4*G4</f>
        <v>0.13427734375</v>
      </c>
    </row>
    <row r="5" customFormat="false" ht="15" hidden="false" customHeight="false" outlineLevel="0" collapsed="false">
      <c r="A5" s="9" t="s">
        <v>3</v>
      </c>
      <c r="B5" s="10" t="s">
        <v>72</v>
      </c>
      <c r="C5" s="11" t="n">
        <v>256</v>
      </c>
      <c r="D5" s="12" t="n">
        <f aca="false">Assumptions!$B$3*Assumptions!$B$4</f>
        <v>40000</v>
      </c>
      <c r="E5" s="13" t="n">
        <f aca="false">D5</f>
        <v>40000</v>
      </c>
      <c r="F5" s="14" t="n">
        <f aca="false">E5*C5/1048576</f>
        <v>9.765625</v>
      </c>
      <c r="G5" s="15" t="n">
        <v>1.2</v>
      </c>
      <c r="H5" s="14" t="n">
        <f aca="false">F5*G5</f>
        <v>11.71875</v>
      </c>
    </row>
    <row r="6" customFormat="false" ht="15" hidden="false" customHeight="false" outlineLevel="0" collapsed="false">
      <c r="A6" s="16" t="s">
        <v>74</v>
      </c>
      <c r="B6" s="17" t="s">
        <v>72</v>
      </c>
      <c r="C6" s="18" t="n">
        <v>384</v>
      </c>
      <c r="D6" s="19" t="n">
        <f aca="false">Assumptions!$B$3*(Assumptions!$B$4*Assumptions!$B$5+Assumptions!$B$6)</f>
        <v>82500</v>
      </c>
      <c r="E6" s="20" t="n">
        <f aca="false">D6</f>
        <v>82500</v>
      </c>
      <c r="F6" s="21" t="n">
        <f aca="false">E6*C6/1048576</f>
        <v>30.21240234375</v>
      </c>
      <c r="G6" s="22" t="n">
        <v>1.3</v>
      </c>
      <c r="H6" s="21" t="n">
        <f aca="false">F6*G6</f>
        <v>39.276123046875</v>
      </c>
    </row>
    <row r="7" customFormat="false" ht="15" hidden="false" customHeight="false" outlineLevel="0" collapsed="false">
      <c r="A7" s="9" t="s">
        <v>75</v>
      </c>
      <c r="B7" s="10" t="s">
        <v>72</v>
      </c>
      <c r="C7" s="11" t="n">
        <v>128</v>
      </c>
      <c r="D7" s="12" t="n">
        <f aca="false">Assumptions!$B$3*Assumptions!$B$4*0.3</f>
        <v>12000</v>
      </c>
      <c r="E7" s="13" t="n">
        <f aca="false">D7</f>
        <v>12000</v>
      </c>
      <c r="F7" s="14" t="n">
        <f aca="false">E7*C7/1048576</f>
        <v>1.46484375</v>
      </c>
      <c r="G7" s="15" t="n">
        <v>1.1</v>
      </c>
      <c r="H7" s="14" t="n">
        <f aca="false">F7*G7</f>
        <v>1.611328125</v>
      </c>
    </row>
    <row r="8" customFormat="false" ht="15" hidden="false" customHeight="false" outlineLevel="0" collapsed="false">
      <c r="A8" s="16" t="s">
        <v>76</v>
      </c>
      <c r="B8" s="17" t="s">
        <v>72</v>
      </c>
      <c r="C8" s="18" t="n">
        <v>128</v>
      </c>
      <c r="D8" s="19" t="n">
        <f aca="false">Assumptions!$B$3*(Assumptions!$B$4*Assumptions!$B$5+Assumptions!$B$6)*3</f>
        <v>247500</v>
      </c>
      <c r="E8" s="20" t="n">
        <f aca="false">D8</f>
        <v>247500</v>
      </c>
      <c r="F8" s="21" t="n">
        <f aca="false">E8*C8/1048576</f>
        <v>30.21240234375</v>
      </c>
      <c r="G8" s="22" t="n">
        <v>1.1</v>
      </c>
      <c r="H8" s="21" t="n">
        <f aca="false">F8*G8</f>
        <v>33.233642578125</v>
      </c>
    </row>
    <row r="9" customFormat="false" ht="15" hidden="false" customHeight="false" outlineLevel="0" collapsed="false">
      <c r="A9" s="9" t="s">
        <v>77</v>
      </c>
      <c r="B9" s="10" t="s">
        <v>78</v>
      </c>
      <c r="C9" s="11" t="n">
        <v>512</v>
      </c>
      <c r="D9" s="12" t="n">
        <f aca="false">Assumptions!$B$3*Assumptions!$B$4*0.9*Assumptions!$B$8*(Assumptions!$B$18/12)</f>
        <v>864000</v>
      </c>
      <c r="E9" s="13" t="n">
        <f aca="false">D9</f>
        <v>864000</v>
      </c>
      <c r="F9" s="14" t="n">
        <f aca="false">E9*C9/1048576</f>
        <v>421.875</v>
      </c>
      <c r="G9" s="15" t="n">
        <v>1.4</v>
      </c>
      <c r="H9" s="14" t="n">
        <f aca="false">F9*G9</f>
        <v>590.625</v>
      </c>
    </row>
    <row r="10" customFormat="false" ht="15" hidden="false" customHeight="false" outlineLevel="0" collapsed="false">
      <c r="A10" s="16" t="s">
        <v>79</v>
      </c>
      <c r="B10" s="17" t="s">
        <v>78</v>
      </c>
      <c r="C10" s="18" t="n">
        <v>256</v>
      </c>
      <c r="D10" s="19" t="n">
        <f aca="false">Assumptions!$B$3*Assumptions!$B$4*0.9*Assumptions!$B$8*(Assumptions!$B$18/12)*1.5</f>
        <v>1296000</v>
      </c>
      <c r="E10" s="20" t="n">
        <f aca="false">D10</f>
        <v>1296000</v>
      </c>
      <c r="F10" s="21" t="n">
        <f aca="false">E10*C10/1048576</f>
        <v>316.40625</v>
      </c>
      <c r="G10" s="22" t="n">
        <v>1.2</v>
      </c>
      <c r="H10" s="21" t="n">
        <f aca="false">F10*G10</f>
        <v>379.6875</v>
      </c>
    </row>
    <row r="11" customFormat="false" ht="15" hidden="false" customHeight="false" outlineLevel="0" collapsed="false">
      <c r="A11" s="9" t="s">
        <v>80</v>
      </c>
      <c r="B11" s="10" t="s">
        <v>78</v>
      </c>
      <c r="C11" s="11" t="n">
        <v>192</v>
      </c>
      <c r="D11" s="12" t="n">
        <f aca="false">Assumptions!$B$3*Assumptions!$B$4*0.9*Assumptions!$B$8*(Assumptions!$B$18/12)*3</f>
        <v>2592000</v>
      </c>
      <c r="E11" s="13" t="n">
        <f aca="false">D11</f>
        <v>2592000</v>
      </c>
      <c r="F11" s="14" t="n">
        <f aca="false">E11*C11/1048576</f>
        <v>474.609375</v>
      </c>
      <c r="G11" s="15" t="n">
        <v>1.2</v>
      </c>
      <c r="H11" s="14" t="n">
        <f aca="false">F11*G11</f>
        <v>569.53125</v>
      </c>
    </row>
    <row r="12" customFormat="false" ht="15" hidden="false" customHeight="false" outlineLevel="0" collapsed="false">
      <c r="A12" s="16" t="s">
        <v>81</v>
      </c>
      <c r="B12" s="17" t="s">
        <v>82</v>
      </c>
      <c r="C12" s="18" t="n">
        <v>192</v>
      </c>
      <c r="D12" s="19" t="n">
        <f aca="false">Assumptions!$B$3*2</f>
        <v>1000</v>
      </c>
      <c r="E12" s="20" t="n">
        <f aca="false">D12</f>
        <v>1000</v>
      </c>
      <c r="F12" s="21" t="n">
        <f aca="false">E12*C12/1048576</f>
        <v>0.18310546875</v>
      </c>
      <c r="G12" s="22" t="n">
        <v>1.1</v>
      </c>
      <c r="H12" s="21" t="n">
        <f aca="false">F12*G12</f>
        <v>0.201416015625</v>
      </c>
    </row>
    <row r="13" customFormat="false" ht="15" hidden="false" customHeight="false" outlineLevel="0" collapsed="false">
      <c r="A13" s="9" t="s">
        <v>83</v>
      </c>
      <c r="B13" s="10" t="s">
        <v>82</v>
      </c>
      <c r="C13" s="11" t="n">
        <v>320</v>
      </c>
      <c r="D13" s="12" t="n">
        <f aca="false">Assumptions!$B$3*Assumptions!$B$4*Assumptions!$B$9*(Assumptions!$B$18/12)</f>
        <v>1440000</v>
      </c>
      <c r="E13" s="13" t="n">
        <f aca="false">D13</f>
        <v>1440000</v>
      </c>
      <c r="F13" s="14" t="n">
        <f aca="false">E13*C13/1048576</f>
        <v>439.453125</v>
      </c>
      <c r="G13" s="15" t="n">
        <v>1.3</v>
      </c>
      <c r="H13" s="14" t="n">
        <f aca="false">F13*G13</f>
        <v>571.2890625</v>
      </c>
    </row>
    <row r="14" customFormat="false" ht="15" hidden="false" customHeight="false" outlineLevel="0" collapsed="false">
      <c r="A14" s="16" t="s">
        <v>84</v>
      </c>
      <c r="B14" s="17" t="s">
        <v>82</v>
      </c>
      <c r="C14" s="18" t="n">
        <v>256</v>
      </c>
      <c r="D14" s="19" t="n">
        <f aca="false">Assumptions!$B$3*Assumptions!$B$4*0.9*Assumptions!$B$10*(Assumptions!$B$18/12)</f>
        <v>324000</v>
      </c>
      <c r="E14" s="20" t="n">
        <f aca="false">D14</f>
        <v>324000</v>
      </c>
      <c r="F14" s="21" t="n">
        <f aca="false">E14*C14/1048576</f>
        <v>79.1015625</v>
      </c>
      <c r="G14" s="22" t="n">
        <v>1.2</v>
      </c>
      <c r="H14" s="21" t="n">
        <f aca="false">F14*G14</f>
        <v>94.921875</v>
      </c>
    </row>
    <row r="15" customFormat="false" ht="15" hidden="false" customHeight="false" outlineLevel="0" collapsed="false">
      <c r="A15" s="9" t="s">
        <v>85</v>
      </c>
      <c r="B15" s="10" t="s">
        <v>82</v>
      </c>
      <c r="C15" s="11" t="n">
        <v>256</v>
      </c>
      <c r="D15" s="12" t="n">
        <f aca="false">Assumptions!$B$3*Assumptions!$B$4*Assumptions!$B$9*(Assumptions!$B$18/12)*Assumptions!$B$11</f>
        <v>1584000</v>
      </c>
      <c r="E15" s="13" t="n">
        <f aca="false">D15</f>
        <v>1584000</v>
      </c>
      <c r="F15" s="14" t="n">
        <f aca="false">E15*C15/1048576</f>
        <v>386.71875</v>
      </c>
      <c r="G15" s="15" t="n">
        <v>1.3</v>
      </c>
      <c r="H15" s="14" t="n">
        <f aca="false">F15*G15</f>
        <v>502.734375</v>
      </c>
    </row>
    <row r="16" customFormat="false" ht="15" hidden="false" customHeight="false" outlineLevel="0" collapsed="false">
      <c r="A16" s="16" t="s">
        <v>86</v>
      </c>
      <c r="B16" s="17" t="s">
        <v>82</v>
      </c>
      <c r="C16" s="18" t="n">
        <v>256</v>
      </c>
      <c r="D16" s="19" t="n">
        <f aca="false">Assumptions!$B$3*Assumptions!$B$4*0.5*(Assumptions!$B$18/12)</f>
        <v>60000</v>
      </c>
      <c r="E16" s="20" t="n">
        <f aca="false">D16</f>
        <v>60000</v>
      </c>
      <c r="F16" s="21" t="n">
        <f aca="false">E16*C16/1048576</f>
        <v>14.6484375</v>
      </c>
      <c r="G16" s="22" t="n">
        <v>1.2</v>
      </c>
      <c r="H16" s="21" t="n">
        <f aca="false">F16*G16</f>
        <v>17.578125</v>
      </c>
    </row>
    <row r="17" customFormat="false" ht="15" hidden="false" customHeight="false" outlineLevel="0" collapsed="false">
      <c r="A17" s="9" t="s">
        <v>87</v>
      </c>
      <c r="B17" s="10" t="s">
        <v>82</v>
      </c>
      <c r="C17" s="11" t="n">
        <v>256</v>
      </c>
      <c r="D17" s="12" t="n">
        <f aca="false">Assumptions!$B$3*20</f>
        <v>10000</v>
      </c>
      <c r="E17" s="13" t="n">
        <f aca="false">D17</f>
        <v>10000</v>
      </c>
      <c r="F17" s="14" t="n">
        <f aca="false">E17*C17/1048576</f>
        <v>2.44140625</v>
      </c>
      <c r="G17" s="15" t="n">
        <v>1.2</v>
      </c>
      <c r="H17" s="14" t="n">
        <f aca="false">F17*G17</f>
        <v>2.9296875</v>
      </c>
    </row>
    <row r="18" customFormat="false" ht="15" hidden="false" customHeight="false" outlineLevel="0" collapsed="false">
      <c r="A18" s="16" t="s">
        <v>88</v>
      </c>
      <c r="B18" s="17" t="s">
        <v>82</v>
      </c>
      <c r="C18" s="18" t="n">
        <v>384</v>
      </c>
      <c r="D18" s="19" t="n">
        <f aca="false">Assumptions!$B$3*Assumptions!$B$14*Assumptions!$B$18</f>
        <v>270000</v>
      </c>
      <c r="E18" s="20" t="n">
        <f aca="false">D18</f>
        <v>270000</v>
      </c>
      <c r="F18" s="21" t="n">
        <f aca="false">E18*C18/1048576</f>
        <v>98.876953125</v>
      </c>
      <c r="G18" s="22" t="n">
        <v>1.3</v>
      </c>
      <c r="H18" s="21" t="n">
        <f aca="false">F18*G18</f>
        <v>128.5400390625</v>
      </c>
    </row>
    <row r="19" customFormat="false" ht="15" hidden="false" customHeight="false" outlineLevel="0" collapsed="false">
      <c r="A19" s="9" t="s">
        <v>89</v>
      </c>
      <c r="B19" s="10" t="s">
        <v>82</v>
      </c>
      <c r="C19" s="11" t="n">
        <v>192</v>
      </c>
      <c r="D19" s="12" t="n">
        <f aca="false">Assumptions!$B$3*12*(Assumptions!$B$18/12)</f>
        <v>18000</v>
      </c>
      <c r="E19" s="13" t="n">
        <f aca="false">D19</f>
        <v>18000</v>
      </c>
      <c r="F19" s="14" t="n">
        <f aca="false">E19*C19/1048576</f>
        <v>3.2958984375</v>
      </c>
      <c r="G19" s="15" t="n">
        <v>1.2</v>
      </c>
      <c r="H19" s="14" t="n">
        <f aca="false">F19*G19</f>
        <v>3.955078125</v>
      </c>
    </row>
    <row r="20" customFormat="false" ht="15" hidden="false" customHeight="false" outlineLevel="0" collapsed="false">
      <c r="A20" s="16" t="s">
        <v>90</v>
      </c>
      <c r="B20" s="17" t="s">
        <v>82</v>
      </c>
      <c r="C20" s="18" t="n">
        <v>128</v>
      </c>
      <c r="D20" s="19" t="n">
        <f aca="false">Assumptions!$B$3*15</f>
        <v>7500</v>
      </c>
      <c r="E20" s="20" t="n">
        <f aca="false">D20</f>
        <v>7500</v>
      </c>
      <c r="F20" s="21" t="n">
        <f aca="false">E20*C20/1048576</f>
        <v>0.91552734375</v>
      </c>
      <c r="G20" s="22" t="n">
        <v>1.1</v>
      </c>
      <c r="H20" s="21" t="n">
        <f aca="false">F20*G20</f>
        <v>1.007080078125</v>
      </c>
    </row>
    <row r="21" customFormat="false" ht="15" hidden="false" customHeight="false" outlineLevel="0" collapsed="false">
      <c r="A21" s="9" t="s">
        <v>91</v>
      </c>
      <c r="B21" s="10" t="s">
        <v>82</v>
      </c>
      <c r="C21" s="11" t="n">
        <v>256</v>
      </c>
      <c r="D21" s="12" t="n">
        <f aca="false">Assumptions!$B$3*5</f>
        <v>2500</v>
      </c>
      <c r="E21" s="13" t="n">
        <f aca="false">D21</f>
        <v>2500</v>
      </c>
      <c r="F21" s="14" t="n">
        <f aca="false">E21*C21/1048576</f>
        <v>0.6103515625</v>
      </c>
      <c r="G21" s="15" t="n">
        <v>1.1</v>
      </c>
      <c r="H21" s="14" t="n">
        <f aca="false">F21*G21</f>
        <v>0.67138671875</v>
      </c>
    </row>
    <row r="22" customFormat="false" ht="15" hidden="false" customHeight="false" outlineLevel="0" collapsed="false">
      <c r="A22" s="16" t="s">
        <v>92</v>
      </c>
      <c r="B22" s="17" t="s">
        <v>93</v>
      </c>
      <c r="C22" s="18" t="n">
        <v>192</v>
      </c>
      <c r="D22" s="19" t="n">
        <f aca="false">Assumptions!$B$3*50</f>
        <v>25000</v>
      </c>
      <c r="E22" s="20" t="n">
        <f aca="false">D22</f>
        <v>25000</v>
      </c>
      <c r="F22" s="21" t="n">
        <f aca="false">E22*C22/1048576</f>
        <v>4.57763671875</v>
      </c>
      <c r="G22" s="22" t="n">
        <v>1.2</v>
      </c>
      <c r="H22" s="21" t="n">
        <f aca="false">F22*G22</f>
        <v>5.4931640625</v>
      </c>
    </row>
    <row r="23" customFormat="false" ht="15" hidden="false" customHeight="false" outlineLevel="0" collapsed="false">
      <c r="A23" s="9" t="s">
        <v>94</v>
      </c>
      <c r="B23" s="10" t="s">
        <v>93</v>
      </c>
      <c r="C23" s="11" t="n">
        <v>256</v>
      </c>
      <c r="D23" s="12" t="n">
        <f aca="false">Assumptions!$B$3*Assumptions!$B$14*Assumptions!$B$18</f>
        <v>270000</v>
      </c>
      <c r="E23" s="13" t="n">
        <f aca="false">D23</f>
        <v>270000</v>
      </c>
      <c r="F23" s="14" t="n">
        <f aca="false">E23*C23/1048576</f>
        <v>65.91796875</v>
      </c>
      <c r="G23" s="15" t="n">
        <v>1.2</v>
      </c>
      <c r="H23" s="14" t="n">
        <f aca="false">F23*G23</f>
        <v>79.1015625</v>
      </c>
    </row>
    <row r="24" customFormat="false" ht="15" hidden="false" customHeight="false" outlineLevel="0" collapsed="false">
      <c r="A24" s="16" t="s">
        <v>95</v>
      </c>
      <c r="B24" s="17" t="s">
        <v>93</v>
      </c>
      <c r="C24" s="18" t="n">
        <v>192</v>
      </c>
      <c r="D24" s="19" t="n">
        <f aca="false">Assumptions!$B$3*Assumptions!$B$14*Assumptions!$B$18*Assumptions!$B$15</f>
        <v>540000</v>
      </c>
      <c r="E24" s="20" t="n">
        <f aca="false">D24</f>
        <v>540000</v>
      </c>
      <c r="F24" s="21" t="n">
        <f aca="false">E24*C24/1048576</f>
        <v>98.876953125</v>
      </c>
      <c r="G24" s="22" t="n">
        <v>1.3</v>
      </c>
      <c r="H24" s="21" t="n">
        <f aca="false">F24*G24</f>
        <v>128.5400390625</v>
      </c>
    </row>
    <row r="25" customFormat="false" ht="15" hidden="false" customHeight="false" outlineLevel="0" collapsed="false">
      <c r="A25" s="9" t="s">
        <v>96</v>
      </c>
      <c r="B25" s="10" t="s">
        <v>97</v>
      </c>
      <c r="C25" s="11" t="n">
        <v>384</v>
      </c>
      <c r="D25" s="12" t="n">
        <f aca="false">Assumptions!$B$3*Assumptions!$B$12*Assumptions!$B$18</f>
        <v>72000</v>
      </c>
      <c r="E25" s="13" t="n">
        <f aca="false">D25</f>
        <v>72000</v>
      </c>
      <c r="F25" s="14" t="n">
        <f aca="false">E25*C25/1048576</f>
        <v>26.3671875</v>
      </c>
      <c r="G25" s="15" t="n">
        <v>1.2</v>
      </c>
      <c r="H25" s="14" t="n">
        <f aca="false">F25*G25</f>
        <v>31.640625</v>
      </c>
    </row>
    <row r="26" customFormat="false" ht="15" hidden="false" customHeight="false" outlineLevel="0" collapsed="false">
      <c r="A26" s="16" t="s">
        <v>98</v>
      </c>
      <c r="B26" s="17" t="s">
        <v>97</v>
      </c>
      <c r="C26" s="18" t="n">
        <v>128</v>
      </c>
      <c r="D26" s="19" t="n">
        <f aca="false">Assumptions!$B$3*Assumptions!$B$12*Assumptions!$B$18*Assumptions!$B$4*0.6</f>
        <v>3456000</v>
      </c>
      <c r="E26" s="20" t="n">
        <f aca="false">D26</f>
        <v>3456000</v>
      </c>
      <c r="F26" s="21" t="n">
        <f aca="false">E26*C26/1048576</f>
        <v>421.875</v>
      </c>
      <c r="G26" s="22" t="n">
        <v>1.2</v>
      </c>
      <c r="H26" s="21" t="n">
        <f aca="false">F26*G26</f>
        <v>506.25</v>
      </c>
    </row>
    <row r="27" customFormat="false" ht="15" hidden="false" customHeight="false" outlineLevel="0" collapsed="false">
      <c r="A27" s="9" t="s">
        <v>99</v>
      </c>
      <c r="B27" s="10" t="s">
        <v>97</v>
      </c>
      <c r="C27" s="11" t="n">
        <v>256</v>
      </c>
      <c r="D27" s="12" t="n">
        <f aca="false">Assumptions!$B$3*Assumptions!$B$13*(Assumptions!$B$18/12)</f>
        <v>30000</v>
      </c>
      <c r="E27" s="13" t="n">
        <f aca="false">D27</f>
        <v>30000</v>
      </c>
      <c r="F27" s="14" t="n">
        <f aca="false">E27*C27/1048576</f>
        <v>7.32421875</v>
      </c>
      <c r="G27" s="15" t="n">
        <v>1.1</v>
      </c>
      <c r="H27" s="14" t="n">
        <f aca="false">F27*G27</f>
        <v>8.056640625</v>
      </c>
    </row>
    <row r="28" customFormat="false" ht="15" hidden="false" customHeight="false" outlineLevel="0" collapsed="false">
      <c r="A28" s="16" t="s">
        <v>100</v>
      </c>
      <c r="B28" s="17" t="s">
        <v>97</v>
      </c>
      <c r="C28" s="18" t="n">
        <v>256</v>
      </c>
      <c r="D28" s="19" t="n">
        <f aca="false">Assumptions!$B$3*Assumptions!$B$16*(Assumptions!$B$18/12)</f>
        <v>9000</v>
      </c>
      <c r="E28" s="20" t="n">
        <f aca="false">D28</f>
        <v>9000</v>
      </c>
      <c r="F28" s="21" t="n">
        <f aca="false">E28*C28/1048576</f>
        <v>2.197265625</v>
      </c>
      <c r="G28" s="22" t="n">
        <v>1.2</v>
      </c>
      <c r="H28" s="21" t="n">
        <f aca="false">F28*G28</f>
        <v>2.63671875</v>
      </c>
    </row>
    <row r="29" customFormat="false" ht="15" hidden="false" customHeight="false" outlineLevel="0" collapsed="false">
      <c r="A29" s="9" t="s">
        <v>101</v>
      </c>
      <c r="B29" s="10" t="s">
        <v>97</v>
      </c>
      <c r="C29" s="11" t="n">
        <v>128</v>
      </c>
      <c r="D29" s="12" t="n">
        <f aca="false">Assumptions!$B$3*Assumptions!$B$16*(Assumptions!$B$18/12)*Assumptions!$B$4*0.5</f>
        <v>360000</v>
      </c>
      <c r="E29" s="13" t="n">
        <f aca="false">D29</f>
        <v>360000</v>
      </c>
      <c r="F29" s="14" t="n">
        <f aca="false">E29*C29/1048576</f>
        <v>43.9453125</v>
      </c>
      <c r="G29" s="15" t="n">
        <v>1.2</v>
      </c>
      <c r="H29" s="14" t="n">
        <f aca="false">F29*G29</f>
        <v>52.734375</v>
      </c>
    </row>
    <row r="30" customFormat="false" ht="15" hidden="false" customHeight="false" outlineLevel="0" collapsed="false">
      <c r="A30" s="16" t="s">
        <v>102</v>
      </c>
      <c r="B30" s="17" t="s">
        <v>103</v>
      </c>
      <c r="C30" s="18" t="n">
        <v>384</v>
      </c>
      <c r="D30" s="19" t="n">
        <f aca="false">Assumptions!$B$3*Assumptions!$B$4*0.9*Assumptions!$B$7*Assumptions!$B$23</f>
        <v>77760000</v>
      </c>
      <c r="E30" s="20" t="n">
        <f aca="false">D30</f>
        <v>77760000</v>
      </c>
      <c r="F30" s="21" t="n">
        <f aca="false">E30*C30/1048576</f>
        <v>28476.5625</v>
      </c>
      <c r="G30" s="22" t="n">
        <v>1.3</v>
      </c>
      <c r="H30" s="21" t="n">
        <f aca="false">F30*G30</f>
        <v>37019.53125</v>
      </c>
    </row>
    <row r="31" customFormat="false" ht="15" hidden="false" customHeight="false" outlineLevel="0" collapsed="false">
      <c r="A31" s="9" t="s">
        <v>104</v>
      </c>
      <c r="B31" s="10" t="s">
        <v>103</v>
      </c>
      <c r="C31" s="11" t="n">
        <v>192</v>
      </c>
      <c r="D31" s="12" t="n">
        <f aca="false">Assumptions!$B$3*Assumptions!$B$4*5</f>
        <v>200000</v>
      </c>
      <c r="E31" s="13" t="n">
        <f aca="false">D31</f>
        <v>200000</v>
      </c>
      <c r="F31" s="14" t="n">
        <f aca="false">E31*C31/1048576</f>
        <v>36.62109375</v>
      </c>
      <c r="G31" s="15" t="n">
        <v>1.2</v>
      </c>
      <c r="H31" s="14" t="n">
        <f aca="false">F31*G31</f>
        <v>43.9453125</v>
      </c>
    </row>
    <row r="32" customFormat="false" ht="15" hidden="false" customHeight="false" outlineLevel="0" collapsed="false">
      <c r="A32" s="16" t="s">
        <v>105</v>
      </c>
      <c r="B32" s="17" t="s">
        <v>106</v>
      </c>
      <c r="C32" s="18" t="n">
        <v>384</v>
      </c>
      <c r="D32" s="19" t="n">
        <f aca="false">Assumptions!$B$3*(Assumptions!$B$4*Assumptions!$B$5+Assumptions!$B$6)*Assumptions!$B$17*Assumptions!$B$23</f>
        <v>445500000</v>
      </c>
      <c r="E32" s="20" t="n">
        <f aca="false">D32</f>
        <v>445500000</v>
      </c>
      <c r="F32" s="21" t="n">
        <f aca="false">E32*C32/1048576</f>
        <v>163146.97265625</v>
      </c>
      <c r="G32" s="22" t="n">
        <v>1.2</v>
      </c>
      <c r="H32" s="21" t="n">
        <f aca="false">F32*G32</f>
        <v>195776.3671875</v>
      </c>
    </row>
    <row r="33" customFormat="false" ht="15" hidden="false" customHeight="false" outlineLevel="0" collapsed="false">
      <c r="A33" s="9" t="s">
        <v>107</v>
      </c>
      <c r="B33" s="10" t="s">
        <v>108</v>
      </c>
      <c r="C33" s="11" t="n">
        <v>96</v>
      </c>
      <c r="D33" s="12" t="n">
        <f aca="false">Assumptions!$B$3*10</f>
        <v>5000</v>
      </c>
      <c r="E33" s="13" t="n">
        <f aca="false">D33</f>
        <v>5000</v>
      </c>
      <c r="F33" s="14" t="n">
        <f aca="false">E33*C33/1048576</f>
        <v>0.457763671875</v>
      </c>
      <c r="G33" s="15" t="n">
        <v>1.1</v>
      </c>
      <c r="H33" s="14" t="n">
        <f aca="false">F33*G33</f>
        <v>0.5035400390625</v>
      </c>
    </row>
    <row r="34" customFormat="false" ht="15" hidden="false" customHeight="false" outlineLevel="0" collapsed="false">
      <c r="A34" s="16" t="s">
        <v>109</v>
      </c>
      <c r="B34" s="17" t="s">
        <v>108</v>
      </c>
      <c r="C34" s="18" t="n">
        <v>96</v>
      </c>
      <c r="D34" s="19" t="n">
        <f aca="false">Assumptions!$B$3</f>
        <v>500</v>
      </c>
      <c r="E34" s="20" t="n">
        <f aca="false">D34</f>
        <v>500</v>
      </c>
      <c r="F34" s="21" t="n">
        <f aca="false">E34*C34/1048576</f>
        <v>0.0457763671875</v>
      </c>
      <c r="G34" s="22" t="n">
        <v>1.1</v>
      </c>
      <c r="H34" s="21" t="n">
        <f aca="false">F34*G34</f>
        <v>0.05035400390625</v>
      </c>
    </row>
    <row r="35" customFormat="false" ht="15" hidden="false" customHeight="false" outlineLevel="0" collapsed="false">
      <c r="A35" s="23" t="s">
        <v>110</v>
      </c>
      <c r="B35" s="23"/>
      <c r="C35" s="23"/>
      <c r="D35" s="23"/>
      <c r="E35" s="24" t="n">
        <f aca="false">SUM(E3:E34)</f>
        <v>537079500</v>
      </c>
      <c r="F35" s="25" t="n">
        <f aca="false">SUM(F3:F34)</f>
        <v>194642.89855957</v>
      </c>
      <c r="G35" s="23"/>
      <c r="H35" s="25" t="n">
        <f aca="false">SUM(H3:H34)</f>
        <v>236604.789733887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6"/>
  </cols>
  <sheetData>
    <row r="1" customFormat="false" ht="30" hidden="false" customHeight="true" outlineLevel="0" collapsed="false">
      <c r="A1" s="1" t="s">
        <v>111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6" t="s">
        <v>1</v>
      </c>
      <c r="B2" s="26" t="s">
        <v>2</v>
      </c>
      <c r="C2" s="26" t="s">
        <v>4</v>
      </c>
      <c r="D2" s="26"/>
      <c r="E2" s="26"/>
      <c r="F2" s="26"/>
    </row>
    <row r="3" customFormat="false" ht="15" hidden="false" customHeight="false" outlineLevel="0" collapsed="false">
      <c r="A3" s="3" t="s">
        <v>112</v>
      </c>
      <c r="B3" s="27" t="n">
        <v>0.4</v>
      </c>
      <c r="C3" s="5" t="s">
        <v>113</v>
      </c>
      <c r="D3" s="28"/>
      <c r="E3" s="28"/>
      <c r="F3" s="28"/>
    </row>
    <row r="4" customFormat="false" ht="15" hidden="false" customHeight="false" outlineLevel="0" collapsed="false">
      <c r="A4" s="3" t="s">
        <v>114</v>
      </c>
      <c r="B4" s="27" t="n">
        <v>0.1</v>
      </c>
      <c r="C4" s="5" t="s">
        <v>115</v>
      </c>
      <c r="D4" s="28"/>
      <c r="E4" s="28"/>
      <c r="F4" s="28"/>
    </row>
    <row r="5" customFormat="false" ht="15" hidden="false" customHeight="false" outlineLevel="0" collapsed="false">
      <c r="A5" s="3" t="s">
        <v>116</v>
      </c>
      <c r="B5" s="27" t="n">
        <v>0.3</v>
      </c>
      <c r="C5" s="5" t="s">
        <v>117</v>
      </c>
      <c r="D5" s="28"/>
      <c r="E5" s="28"/>
      <c r="F5" s="28"/>
    </row>
    <row r="6" customFormat="false" ht="15" hidden="false" customHeight="false" outlineLevel="0" collapsed="false">
      <c r="A6" s="6" t="s">
        <v>118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29" t="s">
        <v>119</v>
      </c>
      <c r="B7" s="29" t="s">
        <v>120</v>
      </c>
      <c r="C7" s="29" t="s">
        <v>121</v>
      </c>
      <c r="D7" s="29" t="s">
        <v>122</v>
      </c>
      <c r="E7" s="29" t="s">
        <v>123</v>
      </c>
      <c r="F7" s="29" t="s">
        <v>124</v>
      </c>
    </row>
    <row r="8" customFormat="false" ht="15" hidden="false" customHeight="false" outlineLevel="0" collapsed="false">
      <c r="A8" s="10" t="s">
        <v>125</v>
      </c>
      <c r="B8" s="13" t="n">
        <f aca="false">Assumptions!$B$3*(1+$B$3)^(1-1)</f>
        <v>500</v>
      </c>
      <c r="C8" s="30" t="n">
        <f aca="false">'Table Sizing'!$H$35</f>
        <v>236604.789733887</v>
      </c>
      <c r="D8" s="31" t="n">
        <f aca="false">C8</f>
        <v>236604.789733887</v>
      </c>
      <c r="E8" s="31" t="n">
        <f aca="false">D8*$B$5</f>
        <v>70981.436920166</v>
      </c>
      <c r="F8" s="32" t="n">
        <f aca="false">(D8+E8)/1024</f>
        <v>300.377174466848</v>
      </c>
    </row>
    <row r="9" customFormat="false" ht="15" hidden="false" customHeight="false" outlineLevel="0" collapsed="false">
      <c r="A9" s="17" t="s">
        <v>126</v>
      </c>
      <c r="B9" s="20" t="n">
        <f aca="false">Assumptions!$B$3*(1+$B$3)^(2-1)</f>
        <v>700</v>
      </c>
      <c r="C9" s="33" t="n">
        <f aca="false">'Table Sizing'!$H$35*(1+$B$3)^(2-1)*(1+$B$4)^(2-1)</f>
        <v>364371.376190186</v>
      </c>
      <c r="D9" s="34" t="n">
        <f aca="false">C9</f>
        <v>364371.376190186</v>
      </c>
      <c r="E9" s="34" t="n">
        <f aca="false">D9*$B$5</f>
        <v>109311.412857056</v>
      </c>
      <c r="F9" s="35" t="n">
        <f aca="false">(D9+E9)/1024</f>
        <v>462.580848678947</v>
      </c>
    </row>
    <row r="10" customFormat="false" ht="15" hidden="false" customHeight="false" outlineLevel="0" collapsed="false">
      <c r="A10" s="10" t="s">
        <v>127</v>
      </c>
      <c r="B10" s="13" t="n">
        <f aca="false">Assumptions!$B$3*(1+$B$3)^(3-1)</f>
        <v>980</v>
      </c>
      <c r="C10" s="30" t="n">
        <f aca="false">'Table Sizing'!$H$35*(1+$B$3)^(3-1)*(1+$B$4)^(3-1)</f>
        <v>561131.919332886</v>
      </c>
      <c r="D10" s="31" t="n">
        <f aca="false">C10</f>
        <v>561131.919332886</v>
      </c>
      <c r="E10" s="31" t="n">
        <f aca="false">D10*$B$5</f>
        <v>168339.575799866</v>
      </c>
      <c r="F10" s="32" t="n">
        <f aca="false">(D10+E10)/1024</f>
        <v>712.374506965578</v>
      </c>
    </row>
    <row r="11" customFormat="false" ht="15" hidden="false" customHeight="false" outlineLevel="0" collapsed="false">
      <c r="A11" s="17" t="s">
        <v>128</v>
      </c>
      <c r="B11" s="20" t="n">
        <f aca="false">Assumptions!$B$3*(1+$B$3)^(4-1)</f>
        <v>1372</v>
      </c>
      <c r="C11" s="33" t="n">
        <f aca="false">'Table Sizing'!$H$35*(1+$B$3)^(4-1)*(1+$B$4)^(4-1)</f>
        <v>864143.155772644</v>
      </c>
      <c r="D11" s="34" t="n">
        <f aca="false">C11</f>
        <v>864143.155772644</v>
      </c>
      <c r="E11" s="34" t="n">
        <f aca="false">D11*$B$5</f>
        <v>259242.946731793</v>
      </c>
      <c r="F11" s="35" t="n">
        <f aca="false">(D11+E11)/1024</f>
        <v>1097.05674072699</v>
      </c>
    </row>
    <row r="12" customFormat="false" ht="15" hidden="false" customHeight="false" outlineLevel="0" collapsed="false">
      <c r="A12" s="10" t="s">
        <v>129</v>
      </c>
      <c r="B12" s="13" t="n">
        <f aca="false">Assumptions!$B$3*(1+$B$3)^(5-1)</f>
        <v>1920.8</v>
      </c>
      <c r="C12" s="30" t="n">
        <f aca="false">'Table Sizing'!$H$35*(1+$B$3)^(5-1)*(1+$B$4)^(5-1)</f>
        <v>1330780.45988987</v>
      </c>
      <c r="D12" s="31" t="n">
        <f aca="false">C12</f>
        <v>1330780.45988987</v>
      </c>
      <c r="E12" s="31" t="n">
        <f aca="false">D12*$B$5</f>
        <v>399234.137966962</v>
      </c>
      <c r="F12" s="32" t="n">
        <f aca="false">(D12+E12)/1024</f>
        <v>1689.46738071956</v>
      </c>
    </row>
    <row r="14" customFormat="false" ht="15" hidden="false" customHeight="false" outlineLevel="0" collapsed="false">
      <c r="A14" s="36" t="s">
        <v>130</v>
      </c>
      <c r="B14" s="36"/>
      <c r="C14" s="36"/>
      <c r="D14" s="36"/>
      <c r="E14" s="36"/>
      <c r="F14" s="36"/>
    </row>
  </sheetData>
  <mergeCells count="3">
    <mergeCell ref="A1:F1"/>
    <mergeCell ref="A6:F6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6" min="5" style="0" width="18"/>
    <col collapsed="false" customWidth="true" hidden="false" outlineLevel="0" max="7" min="7" style="0" width="42"/>
  </cols>
  <sheetData>
    <row r="1" customFormat="false" ht="30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</row>
    <row r="2" customFormat="false" ht="48" hidden="false" customHeight="true" outlineLevel="0" collapsed="false">
      <c r="A2" s="8" t="s">
        <v>132</v>
      </c>
      <c r="B2" s="8" t="s">
        <v>133</v>
      </c>
      <c r="C2" s="8" t="s">
        <v>134</v>
      </c>
      <c r="D2" s="8" t="s">
        <v>135</v>
      </c>
      <c r="E2" s="8" t="s">
        <v>136</v>
      </c>
      <c r="F2" s="8" t="s">
        <v>137</v>
      </c>
      <c r="G2" s="8" t="s">
        <v>4</v>
      </c>
    </row>
    <row r="3" customFormat="false" ht="15" hidden="false" customHeight="false" outlineLevel="0" collapsed="false">
      <c r="A3" s="10" t="s">
        <v>138</v>
      </c>
      <c r="B3" s="10" t="s">
        <v>79</v>
      </c>
      <c r="C3" s="11" t="n">
        <v>500</v>
      </c>
      <c r="D3" s="12" t="n">
        <f aca="false">Assumptions!$B$3*Assumptions!$B$4*0.9*Assumptions!$B$8*(Assumptions!$B$18/12)*1.5</f>
        <v>1296000</v>
      </c>
      <c r="E3" s="14" t="n">
        <f aca="false">D3*C3/1048576</f>
        <v>617.98095703125</v>
      </c>
      <c r="F3" s="14" t="n">
        <f aca="false">E3*3*1.3</f>
        <v>2410.12573242188</v>
      </c>
      <c r="G3" s="10" t="s">
        <v>139</v>
      </c>
    </row>
    <row r="4" customFormat="false" ht="15" hidden="false" customHeight="false" outlineLevel="0" collapsed="false">
      <c r="A4" s="17" t="s">
        <v>140</v>
      </c>
      <c r="B4" s="17" t="s">
        <v>99</v>
      </c>
      <c r="C4" s="18" t="n">
        <v>1200</v>
      </c>
      <c r="D4" s="19" t="n">
        <f aca="false">Assumptions!$B$3*Assumptions!$B$13*(Assumptions!$B$18/12)</f>
        <v>30000</v>
      </c>
      <c r="E4" s="21" t="n">
        <f aca="false">D4*C4/1048576</f>
        <v>34.332275390625</v>
      </c>
      <c r="F4" s="21" t="n">
        <f aca="false">E4*3*1.3</f>
        <v>133.895874023438</v>
      </c>
      <c r="G4" s="17" t="s">
        <v>141</v>
      </c>
    </row>
    <row r="5" customFormat="false" ht="15" hidden="false" customHeight="false" outlineLevel="0" collapsed="false">
      <c r="A5" s="10" t="s">
        <v>142</v>
      </c>
      <c r="B5" s="10" t="s">
        <v>85</v>
      </c>
      <c r="C5" s="11" t="n">
        <v>80</v>
      </c>
      <c r="D5" s="12" t="n">
        <f aca="false">Assumptions!$B$3*Assumptions!$B$4*Assumptions!$B$9*(Assumptions!$B$18/12)*Assumptions!$B$11</f>
        <v>1584000</v>
      </c>
      <c r="E5" s="14" t="n">
        <f aca="false">D5*C5/1048576</f>
        <v>120.849609375</v>
      </c>
      <c r="F5" s="14" t="n">
        <f aca="false">E5*3*1.3</f>
        <v>471.3134765625</v>
      </c>
      <c r="G5" s="10" t="s">
        <v>143</v>
      </c>
    </row>
    <row r="6" customFormat="false" ht="15" hidden="false" customHeight="false" outlineLevel="0" collapsed="false">
      <c r="A6" s="17" t="s">
        <v>144</v>
      </c>
      <c r="B6" s="17" t="s">
        <v>74</v>
      </c>
      <c r="C6" s="18" t="n">
        <v>120</v>
      </c>
      <c r="D6" s="19" t="n">
        <f aca="false">Assumptions!$B$3*(Assumptions!$B$4*Assumptions!$B$5+Assumptions!$B$6)*0.5</f>
        <v>41250</v>
      </c>
      <c r="E6" s="21" t="n">
        <f aca="false">D6*C6/1048576</f>
        <v>4.72068786621094</v>
      </c>
      <c r="F6" s="21" t="n">
        <f aca="false">E6*3*1.3</f>
        <v>18.4106826782227</v>
      </c>
      <c r="G6" s="17" t="s">
        <v>145</v>
      </c>
    </row>
    <row r="7" customFormat="false" ht="15" hidden="false" customHeight="false" outlineLevel="0" collapsed="false">
      <c r="A7" s="10" t="s">
        <v>146</v>
      </c>
      <c r="B7" s="10" t="s">
        <v>71</v>
      </c>
      <c r="C7" s="11" t="n">
        <v>50</v>
      </c>
      <c r="D7" s="12" t="n">
        <f aca="false">Assumptions!$B$3</f>
        <v>500</v>
      </c>
      <c r="E7" s="14" t="n">
        <f aca="false">D7*C7/1048576</f>
        <v>0.0238418579101563</v>
      </c>
      <c r="F7" s="14" t="n">
        <f aca="false">E7*3*1.3</f>
        <v>0.0929832458496094</v>
      </c>
      <c r="G7" s="10" t="s">
        <v>147</v>
      </c>
    </row>
    <row r="8" customFormat="false" ht="15" hidden="false" customHeight="false" outlineLevel="0" collapsed="false">
      <c r="A8" s="17" t="s">
        <v>148</v>
      </c>
      <c r="B8" s="17" t="s">
        <v>88</v>
      </c>
      <c r="C8" s="18" t="n">
        <v>400</v>
      </c>
      <c r="D8" s="19" t="n">
        <f aca="false">Assumptions!$B$3*Assumptions!$B$14*Assumptions!$B$18*0.7</f>
        <v>189000</v>
      </c>
      <c r="E8" s="21" t="n">
        <f aca="false">D8*C8/1048576</f>
        <v>72.0977783203125</v>
      </c>
      <c r="F8" s="21" t="n">
        <f aca="false">E8*3*1.3</f>
        <v>281.181335449219</v>
      </c>
      <c r="G8" s="17" t="s">
        <v>149</v>
      </c>
    </row>
    <row r="9" customFormat="false" ht="15" hidden="false" customHeight="false" outlineLevel="0" collapsed="false">
      <c r="A9" s="10" t="s">
        <v>150</v>
      </c>
      <c r="B9" s="10" t="s">
        <v>102</v>
      </c>
      <c r="C9" s="11" t="n">
        <v>200</v>
      </c>
      <c r="D9" s="12" t="n">
        <f aca="false">Assumptions!$B$3*Assumptions!$B$4*0.9*Assumptions!$B$7*Assumptions!$B$23*0.3</f>
        <v>23328000</v>
      </c>
      <c r="E9" s="14" t="n">
        <f aca="false">D9*C9/1048576</f>
        <v>4449.462890625</v>
      </c>
      <c r="F9" s="14" t="n">
        <f aca="false">E9*3*1.3</f>
        <v>17352.9052734375</v>
      </c>
      <c r="G9" s="10" t="s">
        <v>151</v>
      </c>
    </row>
    <row r="10" customFormat="false" ht="15" hidden="false" customHeight="false" outlineLevel="0" collapsed="false">
      <c r="A10" s="23" t="s">
        <v>110</v>
      </c>
      <c r="B10" s="23"/>
      <c r="C10" s="23"/>
      <c r="D10" s="23"/>
      <c r="E10" s="25" t="n">
        <f aca="false">SUM(E3:E9)</f>
        <v>5299.46804046631</v>
      </c>
      <c r="F10" s="25" t="n">
        <f aca="false">SUM(F3:F9)</f>
        <v>20667.9253578186</v>
      </c>
      <c r="G10" s="2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4"/>
    <col collapsed="false" customWidth="true" hidden="false" outlineLevel="0" max="3" min="3" style="0" width="10"/>
  </cols>
  <sheetData>
    <row r="1" customFormat="false" ht="30" hidden="false" customHeight="true" outlineLevel="0" collapsed="false">
      <c r="A1" s="1" t="s">
        <v>152</v>
      </c>
      <c r="B1" s="1"/>
      <c r="C1" s="1"/>
    </row>
    <row r="2" customFormat="false" ht="19.5" hidden="false" customHeight="true" outlineLevel="0" collapsed="false">
      <c r="A2" s="6" t="s">
        <v>153</v>
      </c>
      <c r="B2" s="6"/>
      <c r="C2" s="6"/>
    </row>
    <row r="3" customFormat="false" ht="15" hidden="false" customHeight="false" outlineLevel="0" collapsed="false">
      <c r="A3" s="37" t="s">
        <v>154</v>
      </c>
      <c r="B3" s="38" t="n">
        <f aca="false">Projections!F8</f>
        <v>300.377174466848</v>
      </c>
      <c r="C3" s="28"/>
    </row>
    <row r="4" customFormat="false" ht="15" hidden="false" customHeight="false" outlineLevel="0" collapsed="false">
      <c r="A4" s="37" t="s">
        <v>155</v>
      </c>
      <c r="B4" s="38" t="n">
        <f aca="false">Projections!F10</f>
        <v>712.374506965578</v>
      </c>
      <c r="C4" s="28"/>
    </row>
    <row r="5" customFormat="false" ht="15" hidden="false" customHeight="false" outlineLevel="0" collapsed="false">
      <c r="A5" s="37" t="s">
        <v>156</v>
      </c>
      <c r="B5" s="38" t="n">
        <f aca="false">Projections!F12</f>
        <v>1689.46738071956</v>
      </c>
      <c r="C5" s="28"/>
    </row>
    <row r="6" customFormat="false" ht="15" hidden="false" customHeight="false" outlineLevel="0" collapsed="false">
      <c r="A6" s="37" t="s">
        <v>157</v>
      </c>
      <c r="B6" s="11" t="n">
        <v>32</v>
      </c>
      <c r="C6" s="28"/>
    </row>
    <row r="7" customFormat="false" ht="15" hidden="false" customHeight="false" outlineLevel="0" collapsed="false">
      <c r="A7" s="37" t="s">
        <v>158</v>
      </c>
      <c r="B7" s="10" t="s">
        <v>159</v>
      </c>
      <c r="C7" s="28"/>
    </row>
    <row r="8" customFormat="false" ht="19.5" hidden="false" customHeight="true" outlineLevel="0" collapsed="false">
      <c r="A8" s="6" t="s">
        <v>160</v>
      </c>
      <c r="B8" s="6"/>
      <c r="C8" s="6"/>
    </row>
    <row r="9" customFormat="false" ht="15" hidden="false" customHeight="false" outlineLevel="0" collapsed="false">
      <c r="A9" s="37" t="s">
        <v>161</v>
      </c>
      <c r="B9" s="38" t="n">
        <f aca="false">'S3 Storage'!E10</f>
        <v>5299.46804046631</v>
      </c>
      <c r="C9" s="28"/>
    </row>
    <row r="10" customFormat="false" ht="15" hidden="false" customHeight="false" outlineLevel="0" collapsed="false">
      <c r="A10" s="37" t="s">
        <v>162</v>
      </c>
      <c r="B10" s="38" t="n">
        <f aca="false">'S3 Storage'!F10</f>
        <v>20667.9253578186</v>
      </c>
      <c r="C10" s="28"/>
    </row>
    <row r="11" customFormat="false" ht="19.5" hidden="false" customHeight="true" outlineLevel="0" collapsed="false">
      <c r="A11" s="6" t="s">
        <v>163</v>
      </c>
      <c r="B11" s="6"/>
      <c r="C11" s="6"/>
    </row>
    <row r="12" customFormat="false" ht="15" hidden="false" customHeight="false" outlineLevel="0" collapsed="false">
      <c r="A12" s="37" t="s">
        <v>164</v>
      </c>
      <c r="B12" s="10" t="s">
        <v>165</v>
      </c>
      <c r="C12" s="28"/>
    </row>
    <row r="13" customFormat="false" ht="15" hidden="false" customHeight="false" outlineLevel="0" collapsed="false">
      <c r="A13" s="37" t="s">
        <v>166</v>
      </c>
      <c r="B13" s="10" t="s">
        <v>167</v>
      </c>
      <c r="C13" s="28"/>
    </row>
    <row r="14" customFormat="false" ht="15" hidden="false" customHeight="false" outlineLevel="0" collapsed="false">
      <c r="A14" s="37" t="s">
        <v>168</v>
      </c>
      <c r="B14" s="10" t="s">
        <v>169</v>
      </c>
      <c r="C14" s="28"/>
    </row>
    <row r="15" customFormat="false" ht="15" hidden="false" customHeight="false" outlineLevel="0" collapsed="false">
      <c r="A15" s="37" t="s">
        <v>170</v>
      </c>
      <c r="B15" s="10" t="s">
        <v>171</v>
      </c>
      <c r="C15" s="28"/>
    </row>
    <row r="16" customFormat="false" ht="15" hidden="false" customHeight="false" outlineLevel="0" collapsed="false">
      <c r="A16" s="37" t="s">
        <v>172</v>
      </c>
      <c r="B16" s="10" t="s">
        <v>173</v>
      </c>
      <c r="C16" s="28"/>
    </row>
    <row r="17" customFormat="false" ht="15" hidden="false" customHeight="false" outlineLevel="0" collapsed="false">
      <c r="A17" s="37" t="s">
        <v>174</v>
      </c>
      <c r="B17" s="10" t="s">
        <v>175</v>
      </c>
      <c r="C17" s="28"/>
    </row>
    <row r="18" customFormat="false" ht="15" hidden="false" customHeight="false" outlineLevel="0" collapsed="false">
      <c r="A18" s="37" t="s">
        <v>176</v>
      </c>
      <c r="B18" s="10" t="s">
        <v>177</v>
      </c>
      <c r="C18" s="28"/>
    </row>
    <row r="19" customFormat="false" ht="15" hidden="false" customHeight="false" outlineLevel="0" collapsed="false">
      <c r="A19" s="37" t="s">
        <v>178</v>
      </c>
      <c r="B19" s="10" t="s">
        <v>179</v>
      </c>
      <c r="C19" s="28"/>
    </row>
    <row r="20" customFormat="false" ht="15" hidden="false" customHeight="false" outlineLevel="0" collapsed="false">
      <c r="A20" s="37" t="s">
        <v>180</v>
      </c>
      <c r="B20" s="10" t="s">
        <v>181</v>
      </c>
      <c r="C20" s="28"/>
    </row>
    <row r="21" customFormat="false" ht="19.5" hidden="false" customHeight="true" outlineLevel="0" collapsed="false">
      <c r="A21" s="6" t="s">
        <v>182</v>
      </c>
      <c r="B21" s="6"/>
      <c r="C21" s="6"/>
    </row>
    <row r="22" customFormat="false" ht="15" hidden="false" customHeight="false" outlineLevel="0" collapsed="false">
      <c r="A22" s="37" t="s">
        <v>183</v>
      </c>
      <c r="B22" s="39" t="n">
        <v>150</v>
      </c>
      <c r="C22" s="28"/>
    </row>
    <row r="23" customFormat="false" ht="15" hidden="false" customHeight="false" outlineLevel="0" collapsed="false">
      <c r="A23" s="37" t="s">
        <v>184</v>
      </c>
      <c r="B23" s="39" t="n">
        <v>480</v>
      </c>
      <c r="C23" s="28"/>
    </row>
    <row r="24" customFormat="false" ht="15" hidden="false" customHeight="false" outlineLevel="0" collapsed="false">
      <c r="A24" s="37" t="s">
        <v>185</v>
      </c>
      <c r="B24" s="39" t="n">
        <v>950</v>
      </c>
      <c r="C24" s="28"/>
    </row>
    <row r="25" customFormat="false" ht="15" hidden="false" customHeight="false" outlineLevel="0" collapsed="false">
      <c r="A25" s="37" t="s">
        <v>186</v>
      </c>
      <c r="B25" s="40" t="s">
        <v>187</v>
      </c>
      <c r="C25" s="28"/>
    </row>
  </sheetData>
  <mergeCells count="5">
    <mergeCell ref="A1:C1"/>
    <mergeCell ref="A2:C2"/>
    <mergeCell ref="A8:C8"/>
    <mergeCell ref="A11:C11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2026-07-24T12:50:46Z</dcterms:created>
  <dc:creator>openpyxl</dc:creator>
  <dc:description/>
  <dc:language>en-US</dc:language>
  <cp:lastModifiedBy/>
  <dcterms:modified xsi:type="dcterms:W3CDTF">2026-07-24T12:50:46Z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